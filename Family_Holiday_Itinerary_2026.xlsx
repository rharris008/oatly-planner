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s" sheetId="1" state="visible" r:id="rId1"/>
    <sheet name="Accommodation" sheetId="2" state="visible" r:id="rId2"/>
    <sheet name="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A$&quot;#,##0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b val="1"/>
    </font>
    <font>
      <color rgb="000563C1"/>
      <sz val="10"/>
      <u val="single"/>
    </font>
    <font>
      <b val="1"/>
      <sz val="12"/>
    </font>
    <font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4" borderId="0" pivotButton="0" quotePrefix="0" xfId="0"/>
    <xf numFmtId="0" fontId="0" fillId="4" borderId="0" pivotButton="0" quotePrefix="0" xfId="0"/>
    <xf numFmtId="0" fontId="4" fillId="5" borderId="0" pivotButton="0" quotePrefix="0" xfId="0"/>
    <xf numFmtId="164" fontId="4" fillId="5" borderId="0" applyAlignment="1" pivotButton="0" quotePrefix="0" xfId="0">
      <alignment horizontal="center" vertical="center"/>
    </xf>
    <xf numFmtId="0" fontId="0" fillId="5" borderId="1" pivotButton="0" quotePrefix="0" xfId="0"/>
    <xf numFmtId="0" fontId="6" fillId="5" borderId="1" pivotButton="0" quotePrefix="0" xfId="0"/>
    <xf numFmtId="164" fontId="6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travel/flights?q=Flights%20from%20BNE%20to%20IST%20on%202026-11-29%20premium%20economy" TargetMode="External" Id="rId1" /><Relationship Type="http://schemas.openxmlformats.org/officeDocument/2006/relationships/hyperlink" Target="https://www.google.com/travel/flights?q=Flights%20from%20BNE%20to%20IST%20on%202026-11-29%20premium%20economy" TargetMode="External" Id="rId2" /><Relationship Type="http://schemas.openxmlformats.org/officeDocument/2006/relationships/hyperlink" Target="https://www.emirates.com/au/english/destinations/bne/ist/flights-from-brisbane-to-istanbul-airport/" TargetMode="External" Id="rId3" /><Relationship Type="http://schemas.openxmlformats.org/officeDocument/2006/relationships/hyperlink" Target="https://www.google.com/travel/flights?q=Flights%20from%20IST%20to%20LHR%20on%202026-12-05%20economy" TargetMode="External" Id="rId4" /><Relationship Type="http://schemas.openxmlformats.org/officeDocument/2006/relationships/hyperlink" Target="https://www.google.com/travel/flights?q=Flights%20from%20IST%20to%20LHR%20on%202026-12-05%20economy" TargetMode="External" Id="rId5" /><Relationship Type="http://schemas.openxmlformats.org/officeDocument/2006/relationships/hyperlink" Target="https://www.google.com/travel/flights?q=Flights%20from%20SAW%20to%20London%20on%202026-12-05%20economy" TargetMode="External" Id="rId6" /><Relationship Type="http://schemas.openxmlformats.org/officeDocument/2006/relationships/hyperlink" Target="https://www.britishairways.com/travel/fx/public/en_gb?from=LHR&amp;to=GVA&amp;depDate=2026-12-16&amp;ADT=2&amp;CHD=2" TargetMode="External" Id="rId7" /><Relationship Type="http://schemas.openxmlformats.org/officeDocument/2006/relationships/hyperlink" Target="https://www.swiss.com/gb/en/book/flights/LHR/GVA?date=2026-12-16&amp;adults=2&amp;children=2" TargetMode="External" Id="rId8" /><Relationship Type="http://schemas.openxmlformats.org/officeDocument/2006/relationships/hyperlink" Target="https://www.easyjet.com/en/cheap-flights/london-gatwick/geneva" TargetMode="External" Id="rId9" /><Relationship Type="http://schemas.openxmlformats.org/officeDocument/2006/relationships/hyperlink" Target="https://www.google.com/travel/flights?q=Flights%20from%20GVA%20to%20CNS%20on%202026-12-26" TargetMode="External" Id="rId10" /><Relationship Type="http://schemas.openxmlformats.org/officeDocument/2006/relationships/hyperlink" Target="https://www.google.com/travel/flights?q=Flights%20from%20GVA%20to%20CNS%20on%202026-12-26" TargetMode="External" Id="rId11" /><Relationship Type="http://schemas.openxmlformats.org/officeDocument/2006/relationships/hyperlink" Target="https://www.google.com/travel/flights?q=Flights%20from%20GVA%20to%20CNS%20on%202026-12-26" TargetMode="External" Id="rId12" /><Relationship Type="http://schemas.openxmlformats.org/officeDocument/2006/relationships/hyperlink" Target="https://www.jetstar.com/au/en/home" TargetMode="External" Id="rId13" /><Relationship Type="http://schemas.openxmlformats.org/officeDocument/2006/relationships/hyperlink" Target="https://www.virginaustralia.com/au/en/" TargetMode="External" Id="rId14" /><Relationship Type="http://schemas.openxmlformats.org/officeDocument/2006/relationships/hyperlink" Target="https://www.qantas.com/au/en.html" TargetMode="External" Id="rId15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booking.com/hotel/tr/sari-konak.html?checkin=2026-11-29&amp;checkout=2026-12-04&amp;group_adults=2&amp;group_children=2&amp;age=15&amp;age=15" TargetMode="External" Id="rId1" /><Relationship Type="http://schemas.openxmlformats.org/officeDocument/2006/relationships/hyperlink" Target="https://www.booking.com/hotel/tr/mitspark.html?checkin=2026-11-29&amp;checkout=2026-12-04&amp;group_adults=2&amp;group_children=2&amp;age=15&amp;age=15" TargetMode="External" Id="rId2" /><Relationship Type="http://schemas.openxmlformats.org/officeDocument/2006/relationships/hyperlink" Target="https://www.booking.com/hotel/tr/seven-hills-palace.html?checkin=2026-11-29&amp;checkout=2026-12-04&amp;group_adults=2&amp;group_children=2&amp;age=15&amp;age=15" TargetMode="External" Id="rId3" /><Relationship Type="http://schemas.openxmlformats.org/officeDocument/2006/relationships/hyperlink" Target="https://www.booking.com/hotel/tr/cave-saksagan.html?checkin=2026-12-04&amp;checkout=2026-12-07&amp;group_adults=2&amp;group_children=2&amp;age=15&amp;age=15" TargetMode="External" Id="rId4" /><Relationship Type="http://schemas.openxmlformats.org/officeDocument/2006/relationships/hyperlink" Target="https://www.booking.com/hotel/tr/aren-cave.html?checkin=2026-12-04&amp;checkout=2026-12-07&amp;group_adults=2&amp;group_children=2&amp;age=15&amp;age=15" TargetMode="External" Id="rId5" /><Relationship Type="http://schemas.openxmlformats.org/officeDocument/2006/relationships/hyperlink" Target="https://www.booking.com/hotel/tr/zara-cave.html?checkin=2026-12-04&amp;checkout=2026-12-07&amp;group_adults=2&amp;group_children=2&amp;age=15&amp;age=15" TargetMode="External" Id="rId6" /><Relationship Type="http://schemas.openxmlformats.org/officeDocument/2006/relationships/hyperlink" Target="https://www.booking.com/hotel/fr/oustalet.html?checkin=2026-12-17&amp;checkout=2026-12-25&amp;group_adults=2&amp;group_children=2&amp;age=15&amp;age=15" TargetMode="External" Id="rId7" /><Relationship Type="http://schemas.openxmlformats.org/officeDocument/2006/relationships/hyperlink" Target="https://www.booking.com/hotel/fr/auberge-du-manoir.html?checkin=2026-12-17&amp;checkout=2026-12-25&amp;group_adults=2&amp;group_children=2&amp;age=15&amp;age=15" TargetMode="External" Id="rId8" /><Relationship Type="http://schemas.openxmlformats.org/officeDocument/2006/relationships/hyperlink" Target="https://www.booking.com/hotel/fr/rockypop-aux-portes-de-chamonix.html?checkin=2026-12-17&amp;checkout=2026-12-25&amp;group_adults=2&amp;group_children=2&amp;age=15&amp;age=15" TargetMode="External" Id="rId9" /><Relationship Type="http://schemas.openxmlformats.org/officeDocument/2006/relationships/hyperlink" Target="https://www.booking.com/hotel/au/rydges-esplanade-resort-cairns.html?checkin=2026-12-26&amp;checkout=2026-12-31&amp;group_adults=2&amp;group_children=0&amp;no_rooms=2" TargetMode="External" Id="rId10" /><Relationship Type="http://schemas.openxmlformats.org/officeDocument/2006/relationships/hyperlink" Target="https://www.booking.com/hotel/au/mantra-esplanade.html?checkin=2026-12-26&amp;checkout=2026-12-31&amp;group_adults=2&amp;group_children=0&amp;no_rooms=2" TargetMode="External" Id="rId11" /><Relationship Type="http://schemas.openxmlformats.org/officeDocument/2006/relationships/hyperlink" Target="https://www.booking.com/hotel/au/pacific-international-cairns.html?checkin=2026-12-26&amp;checkout=2026-12-31&amp;group_adults=2&amp;group_children=0&amp;no_rooms=2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4" customWidth="1" min="4" max="4"/>
    <col width="20" customWidth="1" min="5" max="5"/>
    <col width="12" customWidth="1" min="6" max="6"/>
    <col width="16" customWidth="1" min="7" max="7"/>
    <col width="14" customWidth="1" min="8" max="8"/>
    <col width="20" customWidth="1" min="9" max="9"/>
  </cols>
  <sheetData>
    <row r="1">
      <c r="A1" s="1" t="inlineStr">
        <is>
          <t>Family Holiday — Flights (top 3 options per leg)</t>
        </is>
      </c>
    </row>
    <row r="2">
      <c r="A2" s="2" t="inlineStr">
        <is>
          <t>Party: 2 adults + 2 children (age 15) = 4 passengers · Prices are 2026 market-rate ESTIMATES in AUD · age 15 = adult fare</t>
        </is>
      </c>
    </row>
    <row r="4">
      <c r="A4" s="3" t="inlineStr">
        <is>
          <t>Leg</t>
        </is>
      </c>
      <c r="B4" s="3" t="inlineStr">
        <is>
          <t>Date</t>
        </is>
      </c>
      <c r="C4" s="3" t="inlineStr">
        <is>
          <t>Route</t>
        </is>
      </c>
      <c r="D4" s="3" t="inlineStr">
        <is>
          <t>Airline</t>
        </is>
      </c>
      <c r="E4" s="3" t="inlineStr">
        <is>
          <t>Stops</t>
        </is>
      </c>
      <c r="F4" s="3" t="inlineStr">
        <is>
          <t>Duration</t>
        </is>
      </c>
      <c r="G4" s="3" t="inlineStr">
        <is>
          <t>Price/Person (AUD)</t>
        </is>
      </c>
      <c r="H4" s="3" t="inlineStr">
        <is>
          <t>Total ×4 (AUD)</t>
        </is>
      </c>
      <c r="I4" s="3" t="inlineStr">
        <is>
          <t>Booking URL</t>
        </is>
      </c>
    </row>
    <row r="5">
      <c r="A5" s="4" t="inlineStr">
        <is>
          <t>1. BNE→IST (Prem Econ)</t>
        </is>
      </c>
      <c r="B5" s="4" t="inlineStr">
        <is>
          <t>29 Nov 2026</t>
        </is>
      </c>
      <c r="C5" s="4" t="inlineStr">
        <is>
          <t>BNE-SIN-IST</t>
        </is>
      </c>
      <c r="D5" s="4" t="inlineStr">
        <is>
          <t>Singapore Airlines (A350, new Prem Econ from 1 Nov 2026)</t>
        </is>
      </c>
      <c r="E5" s="4" t="inlineStr">
        <is>
          <t>1 (Singapore SIN)</t>
        </is>
      </c>
      <c r="F5" s="4" t="inlineStr">
        <is>
          <t>~21h 20m</t>
        </is>
      </c>
      <c r="G5" s="5" t="n">
        <v>3950</v>
      </c>
      <c r="H5" s="6" t="n">
        <v>15800</v>
      </c>
      <c r="I5" s="7" t="inlineStr">
        <is>
          <t>Open booking link</t>
        </is>
      </c>
    </row>
    <row r="6">
      <c r="A6" s="4" t="inlineStr">
        <is>
          <t>1. BNE→IST (Prem Econ)</t>
        </is>
      </c>
      <c r="B6" s="4" t="inlineStr">
        <is>
          <t>29 Nov 2026</t>
        </is>
      </c>
      <c r="C6" s="4" t="inlineStr">
        <is>
          <t>BNE-DOH-IST</t>
        </is>
      </c>
      <c r="D6" s="4" t="inlineStr">
        <is>
          <t>Qatar Airways (QR899)</t>
        </is>
      </c>
      <c r="E6" s="4" t="inlineStr">
        <is>
          <t>1 (Doha DOH)</t>
        </is>
      </c>
      <c r="F6" s="4" t="inlineStr">
        <is>
          <t>~20h 45m</t>
        </is>
      </c>
      <c r="G6" s="5" t="n">
        <v>3800</v>
      </c>
      <c r="H6" s="6" t="n">
        <v>15200</v>
      </c>
      <c r="I6" s="7" t="inlineStr">
        <is>
          <t>Open booking link</t>
        </is>
      </c>
    </row>
    <row r="7">
      <c r="A7" s="4" t="inlineStr">
        <is>
          <t>1. BNE→IST (Prem Econ)</t>
        </is>
      </c>
      <c r="B7" s="4" t="inlineStr">
        <is>
          <t>29 Nov 2026</t>
        </is>
      </c>
      <c r="C7" s="4" t="inlineStr">
        <is>
          <t>BNE-DXB-IST</t>
        </is>
      </c>
      <c r="D7" s="4" t="inlineStr">
        <is>
          <t>Emirates (EK)</t>
        </is>
      </c>
      <c r="E7" s="4" t="inlineStr">
        <is>
          <t>1 (Dubai DXB)</t>
        </is>
      </c>
      <c r="F7" s="4" t="inlineStr">
        <is>
          <t>~22h 00m</t>
        </is>
      </c>
      <c r="G7" s="5" t="n">
        <v>4100</v>
      </c>
      <c r="H7" s="6" t="n">
        <v>16400</v>
      </c>
      <c r="I7" s="7" t="inlineStr">
        <is>
          <t>Open booking link</t>
        </is>
      </c>
    </row>
    <row r="8">
      <c r="A8" s="8" t="inlineStr">
        <is>
          <t>2. IST→LHR (Economy)</t>
        </is>
      </c>
      <c r="B8" s="8" t="inlineStr">
        <is>
          <t>5 Dec 2026</t>
        </is>
      </c>
      <c r="C8" s="8" t="inlineStr">
        <is>
          <t>IST-LHR (nonstop)</t>
        </is>
      </c>
      <c r="D8" s="8" t="inlineStr">
        <is>
          <t>Turkish Airlines (TK, B787)</t>
        </is>
      </c>
      <c r="E8" s="8" t="inlineStr">
        <is>
          <t>Nonstop</t>
        </is>
      </c>
      <c r="F8" s="8" t="inlineStr">
        <is>
          <t>~4h 15m</t>
        </is>
      </c>
      <c r="G8" s="9" t="n">
        <v>240</v>
      </c>
      <c r="H8" s="10" t="n">
        <v>960</v>
      </c>
      <c r="I8" s="11" t="inlineStr">
        <is>
          <t>Open booking link</t>
        </is>
      </c>
    </row>
    <row r="9">
      <c r="A9" s="8" t="inlineStr">
        <is>
          <t>2. IST→LHR (Economy)</t>
        </is>
      </c>
      <c r="B9" s="8" t="inlineStr">
        <is>
          <t>5 Dec 2026</t>
        </is>
      </c>
      <c r="C9" s="8" t="inlineStr">
        <is>
          <t>IST-LHR (nonstop)</t>
        </is>
      </c>
      <c r="D9" s="8" t="inlineStr">
        <is>
          <t>British Airways (BA, B787)</t>
        </is>
      </c>
      <c r="E9" s="8" t="inlineStr">
        <is>
          <t>Nonstop</t>
        </is>
      </c>
      <c r="F9" s="8" t="inlineStr">
        <is>
          <t>~4h 25m</t>
        </is>
      </c>
      <c r="G9" s="9" t="n">
        <v>290</v>
      </c>
      <c r="H9" s="10" t="n">
        <v>1160</v>
      </c>
      <c r="I9" s="11" t="inlineStr">
        <is>
          <t>Open booking link</t>
        </is>
      </c>
    </row>
    <row r="10">
      <c r="A10" s="8" t="inlineStr">
        <is>
          <t>2. IST→LHR (Economy)</t>
        </is>
      </c>
      <c r="B10" s="8" t="inlineStr">
        <is>
          <t>5 Dec 2026</t>
        </is>
      </c>
      <c r="C10" s="8" t="inlineStr">
        <is>
          <t>SAW-LGW (alt. airports)</t>
        </is>
      </c>
      <c r="D10" s="8" t="inlineStr">
        <is>
          <t>Pegasus Airlines (PC, ex Sabiha Gökçen)</t>
        </is>
      </c>
      <c r="E10" s="8" t="inlineStr">
        <is>
          <t>Nonstop</t>
        </is>
      </c>
      <c r="F10" s="8" t="inlineStr">
        <is>
          <t>~4h 20m</t>
        </is>
      </c>
      <c r="G10" s="9" t="n">
        <v>130</v>
      </c>
      <c r="H10" s="10" t="n">
        <v>520</v>
      </c>
      <c r="I10" s="11" t="inlineStr">
        <is>
          <t>Open booking link</t>
        </is>
      </c>
    </row>
    <row r="11">
      <c r="A11" s="4" t="inlineStr">
        <is>
          <t>3. LHR→GVA (Economy)</t>
        </is>
      </c>
      <c r="B11" s="4" t="inlineStr">
        <is>
          <t>16 Dec 2026</t>
        </is>
      </c>
      <c r="C11" s="4" t="inlineStr">
        <is>
          <t>LHR-GVA (nonstop)</t>
        </is>
      </c>
      <c r="D11" s="4" t="inlineStr">
        <is>
          <t>British Airways (BA mainline)</t>
        </is>
      </c>
      <c r="E11" s="4" t="inlineStr">
        <is>
          <t>Nonstop</t>
        </is>
      </c>
      <c r="F11" s="4" t="inlineStr">
        <is>
          <t>~1h 45m</t>
        </is>
      </c>
      <c r="G11" s="5" t="n">
        <v>340</v>
      </c>
      <c r="H11" s="6" t="n">
        <v>1360</v>
      </c>
      <c r="I11" s="7" t="inlineStr">
        <is>
          <t>Open booking link</t>
        </is>
      </c>
    </row>
    <row r="12">
      <c r="A12" s="4" t="inlineStr">
        <is>
          <t>3. LHR→GVA (Economy)</t>
        </is>
      </c>
      <c r="B12" s="4" t="inlineStr">
        <is>
          <t>16 Dec 2026</t>
        </is>
      </c>
      <c r="C12" s="4" t="inlineStr">
        <is>
          <t>LHR-GVA (nonstop)</t>
        </is>
      </c>
      <c r="D12" s="4" t="inlineStr">
        <is>
          <t>SWISS (LX, Lufthansa Group)</t>
        </is>
      </c>
      <c r="E12" s="4" t="inlineStr">
        <is>
          <t>Nonstop</t>
        </is>
      </c>
      <c r="F12" s="4" t="inlineStr">
        <is>
          <t>~1h 40m</t>
        </is>
      </c>
      <c r="G12" s="5" t="n">
        <v>365</v>
      </c>
      <c r="H12" s="6" t="n">
        <v>1460</v>
      </c>
      <c r="I12" s="7" t="inlineStr">
        <is>
          <t>Open booking link</t>
        </is>
      </c>
    </row>
    <row r="13">
      <c r="A13" s="4" t="inlineStr">
        <is>
          <t>3. LHR→GVA (Economy)</t>
        </is>
      </c>
      <c r="B13" s="4" t="inlineStr">
        <is>
          <t>16 Dec 2026</t>
        </is>
      </c>
      <c r="C13" s="4" t="inlineStr">
        <is>
          <t>LGW-GVA (Gatwick, not LHR)</t>
        </is>
      </c>
      <c r="D13" s="4" t="inlineStr">
        <is>
          <t>easyJet (U2)</t>
        </is>
      </c>
      <c r="E13" s="4" t="inlineStr">
        <is>
          <t>Nonstop</t>
        </is>
      </c>
      <c r="F13" s="4" t="inlineStr">
        <is>
          <t>~1h 35m</t>
        </is>
      </c>
      <c r="G13" s="5" t="n">
        <v>210</v>
      </c>
      <c r="H13" s="6" t="n">
        <v>840</v>
      </c>
      <c r="I13" s="7" t="inlineStr">
        <is>
          <t>Open booking link</t>
        </is>
      </c>
    </row>
    <row r="14">
      <c r="A14" s="8" t="inlineStr">
        <is>
          <t>4. GVA→CNS (Economy)</t>
        </is>
      </c>
      <c r="B14" s="8" t="inlineStr">
        <is>
          <t>26 Dec 2026</t>
        </is>
      </c>
      <c r="C14" s="8" t="inlineStr">
        <is>
          <t>GVA-SIN-CNS</t>
        </is>
      </c>
      <c r="D14" s="8" t="inlineStr">
        <is>
          <t>Singapore Airlines (only carrier flying int'l into CNS)</t>
        </is>
      </c>
      <c r="E14" s="8" t="inlineStr">
        <is>
          <t>1 (Singapore SIN)</t>
        </is>
      </c>
      <c r="F14" s="8" t="inlineStr">
        <is>
          <t>~24–26h</t>
        </is>
      </c>
      <c r="G14" s="9" t="n">
        <v>2650</v>
      </c>
      <c r="H14" s="10" t="n">
        <v>10600</v>
      </c>
      <c r="I14" s="11" t="inlineStr">
        <is>
          <t>Open booking link</t>
        </is>
      </c>
    </row>
    <row r="15">
      <c r="A15" s="8" t="inlineStr">
        <is>
          <t>4. GVA→CNS (Economy)</t>
        </is>
      </c>
      <c r="B15" s="8" t="inlineStr">
        <is>
          <t>26 Dec 2026</t>
        </is>
      </c>
      <c r="C15" s="8" t="inlineStr">
        <is>
          <t>GVA-DXB-BNE-CNS</t>
        </is>
      </c>
      <c r="D15" s="8" t="inlineStr">
        <is>
          <t>Emirates + Qantas/Virgin (BNE-CNS)</t>
        </is>
      </c>
      <c r="E15" s="8" t="inlineStr">
        <is>
          <t>2 (Dubai DXB, Brisbane BNE)</t>
        </is>
      </c>
      <c r="F15" s="8" t="inlineStr">
        <is>
          <t>~30–33h</t>
        </is>
      </c>
      <c r="G15" s="9" t="n">
        <v>2500</v>
      </c>
      <c r="H15" s="10" t="n">
        <v>10000</v>
      </c>
      <c r="I15" s="11" t="inlineStr">
        <is>
          <t>Open booking link</t>
        </is>
      </c>
    </row>
    <row r="16">
      <c r="A16" s="8" t="inlineStr">
        <is>
          <t>4. GVA→CNS (Economy)</t>
        </is>
      </c>
      <c r="B16" s="8" t="inlineStr">
        <is>
          <t>26 Dec 2026</t>
        </is>
      </c>
      <c r="C16" s="8" t="inlineStr">
        <is>
          <t>GVA-DOH-BNE-CNS</t>
        </is>
      </c>
      <c r="D16" s="8" t="inlineStr">
        <is>
          <t>Qatar Airways + Qantas/Virgin domestic</t>
        </is>
      </c>
      <c r="E16" s="8" t="inlineStr">
        <is>
          <t>2 (Doha DOH, Brisbane BNE)</t>
        </is>
      </c>
      <c r="F16" s="8" t="inlineStr">
        <is>
          <t>~31–34h</t>
        </is>
      </c>
      <c r="G16" s="9" t="n">
        <v>2400</v>
      </c>
      <c r="H16" s="10" t="n">
        <v>9600</v>
      </c>
      <c r="I16" s="11" t="inlineStr">
        <is>
          <t>Open booking link</t>
        </is>
      </c>
    </row>
    <row r="17">
      <c r="A17" s="4" t="inlineStr">
        <is>
          <t>5. CNS→OOL (Economy)</t>
        </is>
      </c>
      <c r="B17" s="4" t="inlineStr">
        <is>
          <t>31 Dec 2026</t>
        </is>
      </c>
      <c r="C17" s="4" t="inlineStr">
        <is>
          <t>CNS-OOL (nonstop)</t>
        </is>
      </c>
      <c r="D17" s="4" t="inlineStr">
        <is>
          <t>Jetstar (JQ) — only nonstop</t>
        </is>
      </c>
      <c r="E17" s="4" t="inlineStr">
        <is>
          <t>Nonstop</t>
        </is>
      </c>
      <c r="F17" s="4" t="inlineStr">
        <is>
          <t>~2h 20m</t>
        </is>
      </c>
      <c r="G17" s="5" t="n">
        <v>220</v>
      </c>
      <c r="H17" s="6" t="n">
        <v>880</v>
      </c>
      <c r="I17" s="7" t="inlineStr">
        <is>
          <t>Open booking link</t>
        </is>
      </c>
    </row>
    <row r="18">
      <c r="A18" s="4" t="inlineStr">
        <is>
          <t>5. CNS→OOL (Economy)</t>
        </is>
      </c>
      <c r="B18" s="4" t="inlineStr">
        <is>
          <t>31 Dec 2026</t>
        </is>
      </c>
      <c r="C18" s="4" t="inlineStr">
        <is>
          <t>CNS-BNE-OOL</t>
        </is>
      </c>
      <c r="D18" s="4" t="inlineStr">
        <is>
          <t>Virgin Australia (VA)</t>
        </is>
      </c>
      <c r="E18" s="4" t="inlineStr">
        <is>
          <t>1 (Brisbane BNE)</t>
        </is>
      </c>
      <c r="F18" s="4" t="inlineStr">
        <is>
          <t>~4–6h</t>
        </is>
      </c>
      <c r="G18" s="5" t="n">
        <v>300</v>
      </c>
      <c r="H18" s="6" t="n">
        <v>1200</v>
      </c>
      <c r="I18" s="7" t="inlineStr">
        <is>
          <t>Open booking link</t>
        </is>
      </c>
    </row>
    <row r="19">
      <c r="A19" s="4" t="inlineStr">
        <is>
          <t>5. CNS→OOL (Economy)</t>
        </is>
      </c>
      <c r="B19" s="4" t="inlineStr">
        <is>
          <t>31 Dec 2026</t>
        </is>
      </c>
      <c r="C19" s="4" t="inlineStr">
        <is>
          <t>CNS-BNE-OOL</t>
        </is>
      </c>
      <c r="D19" s="4" t="inlineStr">
        <is>
          <t>Qantas (QF / QantasLink)</t>
        </is>
      </c>
      <c r="E19" s="4" t="inlineStr">
        <is>
          <t>1 (Brisbane BNE)</t>
        </is>
      </c>
      <c r="F19" s="4" t="inlineStr">
        <is>
          <t>~4–6h</t>
        </is>
      </c>
      <c r="G19" s="5" t="n">
        <v>340</v>
      </c>
      <c r="H19" s="6" t="n">
        <v>1360</v>
      </c>
      <c r="I19" s="7" t="inlineStr">
        <is>
          <t>Open booking link</t>
        </is>
      </c>
    </row>
  </sheetData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30" customWidth="1" min="4" max="4"/>
    <col width="8" customWidth="1" min="5" max="5"/>
    <col width="16" customWidth="1" min="6" max="6"/>
    <col width="16" customWidth="1" min="7" max="7"/>
    <col width="20" customWidth="1" min="8" max="8"/>
  </cols>
  <sheetData>
    <row r="1">
      <c r="A1" s="1" t="inlineStr">
        <is>
          <t>Family Holiday — Accommodation (top 3 options per destination)</t>
        </is>
      </c>
    </row>
    <row r="2">
      <c r="A2" s="2" t="inlineStr">
        <is>
          <t>Family of 4 (2 adults + 2 children age 15) · Booking.com · Prices are 2026 market-rate ESTIMATES in AUD</t>
        </is>
      </c>
    </row>
    <row r="4">
      <c r="A4" s="3" t="inlineStr">
        <is>
          <t>Destination / Dates</t>
        </is>
      </c>
      <c r="B4" s="3" t="inlineStr">
        <is>
          <t>Hotel Name</t>
        </is>
      </c>
      <c r="C4" s="3" t="inlineStr">
        <is>
          <t>Star Rating</t>
        </is>
      </c>
      <c r="D4" s="3" t="inlineStr">
        <is>
          <t>Room Type</t>
        </is>
      </c>
      <c r="E4" s="3" t="inlineStr">
        <is>
          <t>Nights</t>
        </is>
      </c>
      <c r="F4" s="3" t="inlineStr">
        <is>
          <t>Price/Night (AUD)</t>
        </is>
      </c>
      <c r="G4" s="3" t="inlineStr">
        <is>
          <t>Total Stay (AUD)</t>
        </is>
      </c>
      <c r="H4" s="3" t="inlineStr">
        <is>
          <t>Booking URL</t>
        </is>
      </c>
    </row>
    <row r="5">
      <c r="A5" s="4" t="inlineStr">
        <is>
          <t>Istanbul (Sultanahmet)
29 Nov–4 Dec (5 nts)</t>
        </is>
      </c>
      <c r="B5" s="4" t="inlineStr">
        <is>
          <t>Hotel Sari Konak</t>
        </is>
      </c>
      <c r="C5" s="12" t="inlineStr">
        <is>
          <t>4★</t>
        </is>
      </c>
      <c r="D5" s="4" t="inlineStr">
        <is>
          <t>Family/Triple Suite (sleeps 4)</t>
        </is>
      </c>
      <c r="E5" s="12" t="n">
        <v>5</v>
      </c>
      <c r="F5" s="5" t="n">
        <v>165</v>
      </c>
      <c r="G5" s="6" t="n">
        <v>825</v>
      </c>
      <c r="H5" s="7" t="inlineStr">
        <is>
          <t>Open booking link</t>
        </is>
      </c>
    </row>
    <row r="6">
      <c r="A6" s="4" t="inlineStr">
        <is>
          <t>Istanbul (Sultanahmet)
29 Nov–4 Dec (5 nts)</t>
        </is>
      </c>
      <c r="B6" s="4" t="inlineStr">
        <is>
          <t>Mitspark Hotel</t>
        </is>
      </c>
      <c r="C6" s="12" t="inlineStr">
        <is>
          <t>4★</t>
        </is>
      </c>
      <c r="D6" s="4" t="inlineStr">
        <is>
          <t>Family Room (sleeps 4)</t>
        </is>
      </c>
      <c r="E6" s="12" t="n">
        <v>5</v>
      </c>
      <c r="F6" s="5" t="n">
        <v>210</v>
      </c>
      <c r="G6" s="6" t="n">
        <v>1050</v>
      </c>
      <c r="H6" s="7" t="inlineStr">
        <is>
          <t>Open booking link</t>
        </is>
      </c>
    </row>
    <row r="7">
      <c r="A7" s="4" t="inlineStr">
        <is>
          <t>Istanbul (Sultanahmet)
29 Nov–4 Dec (5 nts)</t>
        </is>
      </c>
      <c r="B7" s="4" t="inlineStr">
        <is>
          <t>Seven Hills Palace &amp; Spa</t>
        </is>
      </c>
      <c r="C7" s="12" t="inlineStr">
        <is>
          <t>4★</t>
        </is>
      </c>
      <c r="D7" s="4" t="inlineStr">
        <is>
          <t>Family Suite / 2 connecting rooms</t>
        </is>
      </c>
      <c r="E7" s="12" t="n">
        <v>5</v>
      </c>
      <c r="F7" s="5" t="n">
        <v>230</v>
      </c>
      <c r="G7" s="6" t="n">
        <v>1150</v>
      </c>
      <c r="H7" s="7" t="inlineStr">
        <is>
          <t>Open booking link</t>
        </is>
      </c>
    </row>
    <row r="8">
      <c r="A8" s="8" t="inlineStr">
        <is>
          <t>Cappadocia (Göreme)
4–7 Dec (3 nts)</t>
        </is>
      </c>
      <c r="B8" s="8" t="inlineStr">
        <is>
          <t>Cave Hotel Saksagan</t>
        </is>
      </c>
      <c r="C8" s="13" t="inlineStr">
        <is>
          <t>4★ boutique cave</t>
        </is>
      </c>
      <c r="D8" s="8" t="inlineStr">
        <is>
          <t>Family Cave Room (sleeps 4)</t>
        </is>
      </c>
      <c r="E8" s="13" t="n">
        <v>3</v>
      </c>
      <c r="F8" s="9" t="n">
        <v>130</v>
      </c>
      <c r="G8" s="10" t="n">
        <v>390</v>
      </c>
      <c r="H8" s="11" t="inlineStr">
        <is>
          <t>Open booking link</t>
        </is>
      </c>
    </row>
    <row r="9">
      <c r="A9" s="8" t="inlineStr">
        <is>
          <t>Cappadocia (Göreme)
4–7 Dec (3 nts)</t>
        </is>
      </c>
      <c r="B9" s="8" t="inlineStr">
        <is>
          <t>Aren Cave Hotel &amp; Art Gallery</t>
        </is>
      </c>
      <c r="C9" s="13" t="inlineStr">
        <is>
          <t>4★ boutique cave</t>
        </is>
      </c>
      <c r="D9" s="8" t="inlineStr">
        <is>
          <t>Family Cave Suite (sleeps 4)</t>
        </is>
      </c>
      <c r="E9" s="13" t="n">
        <v>3</v>
      </c>
      <c r="F9" s="9" t="n">
        <v>170</v>
      </c>
      <c r="G9" s="10" t="n">
        <v>510</v>
      </c>
      <c r="H9" s="11" t="inlineStr">
        <is>
          <t>Open booking link</t>
        </is>
      </c>
    </row>
    <row r="10">
      <c r="A10" s="8" t="inlineStr">
        <is>
          <t>Cappadocia (Göreme)
4–7 Dec (3 nts)</t>
        </is>
      </c>
      <c r="B10" s="8" t="inlineStr">
        <is>
          <t>Zara Cave Hotel</t>
        </is>
      </c>
      <c r="C10" s="13" t="inlineStr">
        <is>
          <t>4★ boutique cave</t>
        </is>
      </c>
      <c r="D10" s="8" t="inlineStr">
        <is>
          <t>Family Cave Room (sleeps 4)</t>
        </is>
      </c>
      <c r="E10" s="13" t="n">
        <v>3</v>
      </c>
      <c r="F10" s="9" t="n">
        <v>185</v>
      </c>
      <c r="G10" s="10" t="n">
        <v>555</v>
      </c>
      <c r="H10" s="11" t="inlineStr">
        <is>
          <t>Open booking link</t>
        </is>
      </c>
    </row>
    <row r="11">
      <c r="A11" s="4" t="inlineStr">
        <is>
          <t>Chamonix
17–25 Dec (8 nts)</t>
        </is>
      </c>
      <c r="B11" s="4" t="inlineStr">
        <is>
          <t>Hotel L'Oustalet</t>
        </is>
      </c>
      <c r="C11" s="12" t="inlineStr">
        <is>
          <t>4★</t>
        </is>
      </c>
      <c r="D11" s="4" t="inlineStr">
        <is>
          <t>1 Family Room (2A+2C)</t>
        </is>
      </c>
      <c r="E11" s="12" t="n">
        <v>8</v>
      </c>
      <c r="F11" s="5" t="n">
        <v>467</v>
      </c>
      <c r="G11" s="6" t="n">
        <v>3735</v>
      </c>
      <c r="H11" s="7" t="inlineStr">
        <is>
          <t>Open booking link</t>
        </is>
      </c>
    </row>
    <row r="12">
      <c r="A12" s="4" t="inlineStr">
        <is>
          <t>Chamonix
17–25 Dec (8 nts)</t>
        </is>
      </c>
      <c r="B12" s="4" t="inlineStr">
        <is>
          <t>Auberge du Manoir</t>
        </is>
      </c>
      <c r="C12" s="12" t="inlineStr">
        <is>
          <t>3★</t>
        </is>
      </c>
      <c r="D12" s="4" t="inlineStr">
        <is>
          <t>2 interconnecting/adjacent rooms</t>
        </is>
      </c>
      <c r="E12" s="12" t="n">
        <v>8</v>
      </c>
      <c r="F12" s="5" t="n">
        <v>520</v>
      </c>
      <c r="G12" s="6" t="n">
        <v>4160</v>
      </c>
      <c r="H12" s="7" t="inlineStr">
        <is>
          <t>Open booking link</t>
        </is>
      </c>
    </row>
    <row r="13">
      <c r="A13" s="4" t="inlineStr">
        <is>
          <t>Chamonix
17–25 Dec (8 nts)</t>
        </is>
      </c>
      <c r="B13" s="4" t="inlineStr">
        <is>
          <t>RockyPop Chamonix – Les Houches</t>
        </is>
      </c>
      <c r="C13" s="12" t="inlineStr">
        <is>
          <t>3★</t>
        </is>
      </c>
      <c r="D13" s="4" t="inlineStr">
        <is>
          <t>1 Family Room (2A+2C)</t>
        </is>
      </c>
      <c r="E13" s="12" t="n">
        <v>8</v>
      </c>
      <c r="F13" s="5" t="n">
        <v>340</v>
      </c>
      <c r="G13" s="6" t="n">
        <v>2720</v>
      </c>
      <c r="H13" s="7" t="inlineStr">
        <is>
          <t>Open booking link</t>
        </is>
      </c>
    </row>
    <row r="14">
      <c r="A14" s="8" t="inlineStr">
        <is>
          <t>Cairns
26–31 Dec (5 nts)</t>
        </is>
      </c>
      <c r="B14" s="8" t="inlineStr">
        <is>
          <t>Rydges Esplanade Resort Cairns</t>
        </is>
      </c>
      <c r="C14" s="13" t="inlineStr">
        <is>
          <t>4★</t>
        </is>
      </c>
      <c r="D14" s="8" t="inlineStr">
        <is>
          <t>2 × Resort/Hotel rooms</t>
        </is>
      </c>
      <c r="E14" s="13" t="n">
        <v>5</v>
      </c>
      <c r="F14" s="9" t="n">
        <v>230</v>
      </c>
      <c r="G14" s="10" t="n">
        <v>2300</v>
      </c>
      <c r="H14" s="11" t="inlineStr">
        <is>
          <t>Open booking link</t>
        </is>
      </c>
    </row>
    <row r="15">
      <c r="A15" s="8" t="inlineStr">
        <is>
          <t>Cairns
26–31 Dec (5 nts)</t>
        </is>
      </c>
      <c r="B15" s="8" t="inlineStr">
        <is>
          <t>Mantra Esplanade Cairns</t>
        </is>
      </c>
      <c r="C15" s="13" t="inlineStr">
        <is>
          <t>4★</t>
        </is>
      </c>
      <c r="D15" s="8" t="inlineStr">
        <is>
          <t>2 × Hotel rooms</t>
        </is>
      </c>
      <c r="E15" s="13" t="n">
        <v>5</v>
      </c>
      <c r="F15" s="9" t="n">
        <v>250</v>
      </c>
      <c r="G15" s="10" t="n">
        <v>2500</v>
      </c>
      <c r="H15" s="11" t="inlineStr">
        <is>
          <t>Open booking link</t>
        </is>
      </c>
    </row>
    <row r="16">
      <c r="A16" s="8" t="inlineStr">
        <is>
          <t>Cairns
26–31 Dec (5 nts)</t>
        </is>
      </c>
      <c r="B16" s="8" t="inlineStr">
        <is>
          <t>Pacific Hotel Cairns</t>
        </is>
      </c>
      <c r="C16" s="13" t="inlineStr">
        <is>
          <t>4★</t>
        </is>
      </c>
      <c r="D16" s="8" t="inlineStr">
        <is>
          <t>2 × Superior rooms</t>
        </is>
      </c>
      <c r="E16" s="13" t="n">
        <v>5</v>
      </c>
      <c r="F16" s="9" t="n">
        <v>215</v>
      </c>
      <c r="G16" s="10" t="n">
        <v>2150</v>
      </c>
      <c r="H16" s="11" t="inlineStr">
        <is>
          <t>Open booking link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8" customWidth="1" min="3" max="3"/>
  </cols>
  <sheetData>
    <row r="1">
      <c r="A1" s="1" t="inlineStr">
        <is>
          <t>Family Holiday — Cost Summary (recommended best-value picks)</t>
        </is>
      </c>
    </row>
    <row r="2">
      <c r="A2" s="2" t="inlineStr">
        <is>
          <t>Party: 2 adults + 2 children (15). All figures AUD, 2026 market-rate ESTIMATES.</t>
        </is>
      </c>
    </row>
    <row r="4">
      <c r="A4" s="14" t="inlineStr">
        <is>
          <t>FLIGHTS</t>
        </is>
      </c>
      <c r="B4" s="15" t="n"/>
      <c r="C4" s="15" t="n"/>
    </row>
    <row r="5">
      <c r="A5" s="3" t="inlineStr">
        <is>
          <t>Leg</t>
        </is>
      </c>
      <c r="B5" s="3" t="inlineStr">
        <is>
          <t>Recommended option</t>
        </is>
      </c>
      <c r="C5" s="3" t="inlineStr">
        <is>
          <t>Total ×4 (AUD)</t>
        </is>
      </c>
    </row>
    <row r="6">
      <c r="A6" s="4" t="inlineStr">
        <is>
          <t>1. BNE→IST (Prem Econ)</t>
        </is>
      </c>
      <c r="B6" s="4" t="inlineStr">
        <is>
          <t>Qatar Airways (BNE-DOH-IST)</t>
        </is>
      </c>
      <c r="C6" s="5" t="n">
        <v>15200</v>
      </c>
    </row>
    <row r="7">
      <c r="A7" s="4" t="inlineStr">
        <is>
          <t>2. IST→LHR (Economy)</t>
        </is>
      </c>
      <c r="B7" s="4" t="inlineStr">
        <is>
          <t>Turkish Airlines (nonstop IST-LHR)</t>
        </is>
      </c>
      <c r="C7" s="5" t="n">
        <v>960</v>
      </c>
    </row>
    <row r="8">
      <c r="A8" s="4" t="inlineStr">
        <is>
          <t>3. LHR→GVA (Economy)</t>
        </is>
      </c>
      <c r="B8" s="4" t="inlineStr">
        <is>
          <t>British Airways (nonstop, true LHR)</t>
        </is>
      </c>
      <c r="C8" s="5" t="n">
        <v>1360</v>
      </c>
    </row>
    <row r="9">
      <c r="A9" s="4" t="inlineStr">
        <is>
          <t>4. GVA→CNS (Economy)</t>
        </is>
      </c>
      <c r="B9" s="4" t="inlineStr">
        <is>
          <t>Qatar Airways via DOH/BNE</t>
        </is>
      </c>
      <c r="C9" s="5" t="n">
        <v>9600</v>
      </c>
    </row>
    <row r="10">
      <c r="A10" s="4" t="inlineStr">
        <is>
          <t>5. CNS→OOL (Economy)</t>
        </is>
      </c>
      <c r="B10" s="4" t="inlineStr">
        <is>
          <t>Jetstar (nonstop)</t>
        </is>
      </c>
      <c r="C10" s="5" t="n">
        <v>880</v>
      </c>
    </row>
    <row r="11">
      <c r="B11" s="16" t="inlineStr">
        <is>
          <t>Flights subtotal</t>
        </is>
      </c>
      <c r="C11" s="17">
        <f>SUM(C6:C10)</f>
        <v/>
      </c>
    </row>
    <row r="13">
      <c r="A13" s="14" t="inlineStr">
        <is>
          <t>ACCOMMODATION</t>
        </is>
      </c>
      <c r="B13" s="15" t="n"/>
      <c r="C13" s="15" t="n"/>
    </row>
    <row r="14">
      <c r="A14" s="3" t="inlineStr">
        <is>
          <t>Destination</t>
        </is>
      </c>
      <c r="B14" s="3" t="inlineStr">
        <is>
          <t>Recommended option</t>
        </is>
      </c>
      <c r="C14" s="3" t="inlineStr">
        <is>
          <t>Total Stay (AUD)</t>
        </is>
      </c>
    </row>
    <row r="15">
      <c r="A15" s="4" t="inlineStr">
        <is>
          <t>Istanbul (Sultanahmet, 5 nts)</t>
        </is>
      </c>
      <c r="B15" s="4" t="inlineStr">
        <is>
          <t>Mitspark Hotel (4★)</t>
        </is>
      </c>
      <c r="C15" s="5" t="n">
        <v>1050</v>
      </c>
    </row>
    <row r="16">
      <c r="A16" s="4" t="inlineStr">
        <is>
          <t>Cappadocia / Göreme (3 nts)</t>
        </is>
      </c>
      <c r="B16" s="4" t="inlineStr">
        <is>
          <t>Aren Cave Hotel (4★)</t>
        </is>
      </c>
      <c r="C16" s="5" t="n">
        <v>510</v>
      </c>
    </row>
    <row r="17">
      <c r="A17" s="4" t="inlineStr">
        <is>
          <t>Chamonix (8 nts)</t>
        </is>
      </c>
      <c r="B17" s="4" t="inlineStr">
        <is>
          <t>RockyPop Chamonix (3★)</t>
        </is>
      </c>
      <c r="C17" s="5" t="n">
        <v>2720</v>
      </c>
    </row>
    <row r="18">
      <c r="A18" s="4" t="inlineStr">
        <is>
          <t>Cairns (5 nts, 2 rooms)</t>
        </is>
      </c>
      <c r="B18" s="4" t="inlineStr">
        <is>
          <t>Pacific Hotel Cairns (4★)</t>
        </is>
      </c>
      <c r="C18" s="5" t="n">
        <v>2150</v>
      </c>
    </row>
    <row r="19">
      <c r="B19" s="16" t="inlineStr">
        <is>
          <t>Accommodation subtotal</t>
        </is>
      </c>
      <c r="C19" s="17">
        <f>SUM(C15:C18)</f>
        <v/>
      </c>
    </row>
    <row r="21">
      <c r="A21" s="18" t="n"/>
      <c r="B21" s="19" t="inlineStr">
        <is>
          <t>GRAND TOTAL (flights + accommodation)</t>
        </is>
      </c>
      <c r="C21" s="20">
        <f>C11+C19</f>
        <v/>
      </c>
    </row>
    <row r="23">
      <c r="A23" s="21" t="inlineStr">
        <is>
          <t>Notes &amp; assumptions:</t>
        </is>
      </c>
    </row>
    <row r="24">
      <c r="A24" s="22" t="inlineStr">
        <is>
          <t>• Excludes: travel between airports/hotels, local transport, ski passes/lift tickets, meals, travel insurance, visas (Türkiye e-visa, UK/Schengen as applicable), and the BNE→home final domestic leg.</t>
        </is>
      </c>
    </row>
    <row r="25">
      <c r="A25" s="22" t="inlineStr">
        <is>
          <t>• Long-haul GVA→CNS (26 Dec) sits in the deepest Christmas/New-Year peak — the single biggest cost; flexing dates off 26 Dec could save A$400–700/person.</t>
        </is>
      </c>
    </row>
    <row r="26">
      <c r="A26" s="22" t="inlineStr">
        <is>
          <t>• Children aged 15 are charged adult fares by virtually all airlines.</t>
        </is>
      </c>
    </row>
    <row r="27">
      <c r="A27" s="22" t="inlineStr">
        <is>
          <t>• Prices are market-rate ESTIMATES (live booking engines are JS-rendered and don't return live quotes); use the booking links on the Flights/Accommodation sheets to pull live prices.</t>
        </is>
      </c>
    </row>
    <row r="28">
      <c r="A28" s="22" t="inlineStr">
        <is>
          <t>• 'Recommended option' = best-value sensible pick per leg/destination; cheaper alt-airport options (e.g. Pegasus SAW-LGW, easyJet LGW-GVA) are listed on the Flights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2026-05-30T09:30:47Z</dcterms:created>
  <dcterms:modified xsi:type="dcterms:W3CDTF">2026-05-30T09:30:47Z</dcterms:modified>
</cp:coreProperties>
</file>